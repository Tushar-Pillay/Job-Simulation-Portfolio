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cforage/Desktop/Forage Working Docs/Mastercard/"/>
    </mc:Choice>
  </mc:AlternateContent>
  <xr:revisionPtr revIDLastSave="24" documentId="13_ncr:1_{A2050C21-3C4A-D34F-B426-40232578412C}" xr6:coauthVersionLast="47" xr6:coauthVersionMax="47" xr10:uidLastSave="{BC637EF3-F630-4BBE-B515-387361269EEA}"/>
  <bookViews>
    <workbookView xWindow="380" yWindow="500" windowWidth="28040" windowHeight="16340" activeTab="1" xr2:uid="{9254BF81-C7BC-8144-BBAF-D515DF4C6537}"/>
  </bookViews>
  <sheets>
    <sheet name="Store Data" sheetId="1" r:id="rId1"/>
    <sheet name="Sheet1" sheetId="2" r:id="rId2"/>
  </sheets>
  <calcPr calcId="191028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" i="1"/>
</calcChain>
</file>

<file path=xl/sharedStrings.xml><?xml version="1.0" encoding="utf-8"?>
<sst xmlns="http://schemas.openxmlformats.org/spreadsheetml/2006/main" count="99" uniqueCount="50">
  <si>
    <t>Store ID</t>
  </si>
  <si>
    <t>Location</t>
  </si>
  <si>
    <t>Store Size</t>
  </si>
  <si>
    <t>Store Type</t>
  </si>
  <si>
    <t>Promotion ID</t>
  </si>
  <si>
    <t>Type of Promotion</t>
  </si>
  <si>
    <t>Promotion Start Date</t>
  </si>
  <si>
    <t>Promotion End Date</t>
  </si>
  <si>
    <t>Weekly Sales During Promotion</t>
  </si>
  <si>
    <t>Weekly Sales Before Promotion</t>
  </si>
  <si>
    <t>Weekly Sales After Promotion</t>
  </si>
  <si>
    <t>Average Daily Visits During Promotion</t>
  </si>
  <si>
    <t>Average Daily Visits Before Promotion</t>
  </si>
  <si>
    <t>Average Daily Visits After Promotion</t>
  </si>
  <si>
    <t>Sales uplift</t>
  </si>
  <si>
    <t>Post-promotion retention</t>
  </si>
  <si>
    <t>Visit uplift</t>
  </si>
  <si>
    <t xml:space="preserve">Promotion Duration </t>
  </si>
  <si>
    <t>New York</t>
  </si>
  <si>
    <t>Urban</t>
  </si>
  <si>
    <t>Discount</t>
  </si>
  <si>
    <t>Los Angeles</t>
  </si>
  <si>
    <t>Suburban</t>
  </si>
  <si>
    <t>Buy-One-Get-One</t>
  </si>
  <si>
    <t>Chicago</t>
  </si>
  <si>
    <t>Special Event</t>
  </si>
  <si>
    <t>Houston</t>
  </si>
  <si>
    <t>Phoenix</t>
  </si>
  <si>
    <t>Philadelphia</t>
  </si>
  <si>
    <t>San Antonio</t>
  </si>
  <si>
    <t>San Diego</t>
  </si>
  <si>
    <t>Dallas</t>
  </si>
  <si>
    <t>San Jose</t>
  </si>
  <si>
    <t>Austin</t>
  </si>
  <si>
    <t>Jacksonville</t>
  </si>
  <si>
    <t>Fort Worth</t>
  </si>
  <si>
    <t>Columbus</t>
  </si>
  <si>
    <t>Charlotte</t>
  </si>
  <si>
    <t>Detroit</t>
  </si>
  <si>
    <t>El Paso</t>
  </si>
  <si>
    <t>Memphis</t>
  </si>
  <si>
    <t>Baltimore</t>
  </si>
  <si>
    <t>Boston</t>
  </si>
  <si>
    <t>Nashville</t>
  </si>
  <si>
    <t>Denver</t>
  </si>
  <si>
    <t>Louisville</t>
  </si>
  <si>
    <t>Portland</t>
  </si>
  <si>
    <t>Milwaukee</t>
  </si>
  <si>
    <t>Average of Weekly Sales During Promotion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</si>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</sst>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00"/>
    <numFmt numFmtId="166" formatCode="&quot;$&quot;#,##0.00"/>
  </numFmts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6" fontId="0" fillId="0" borderId="0" xfId="0" applyNumberFormat="1"/>
    <xf numFmtId="0" fontId="2" fillId="0" borderId="0" xfId="0" applyFont="1"/>
    <xf numFmtId="0" fontId="0" fillId="0" borderId="0" xfId="0" pivotButton="1"/>
  </cellXfs>
  <cellStyles count="1">
    <cellStyle name="Normal" xfId="0" builtinId="0"/>
  </cellStyles>
  <dxfs count="10">
    <dxf>
      <numFmt numFmtId="0" formatCode="General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numFmt numFmtId="164" formatCode="yyyy\-mm\-dd;@"/>
    </dxf>
    <dxf>
      <numFmt numFmtId="164" formatCode="yyyy\-mm\-dd;@"/>
    </dxf>
    <dxf>
      <numFmt numFmtId="165" formatCode="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8.563970254632" createdVersion="8" refreshedVersion="8" minRefreshableVersion="3" recordCount="25" xr:uid="{BCE18FDD-B169-4F7E-A9E9-5C206AD005CB}">
  <cacheSource type="worksheet">
    <worksheetSource name="Table1"/>
  </cacheSource>
  <cacheFields count="18">
    <cacheField name="Store ID" numFmtId="165">
      <sharedItems containsSemiMixedTypes="0" containsString="0" containsNumber="1" containsInteger="1" minValue="1" maxValue="25"/>
    </cacheField>
    <cacheField name="Location" numFmtId="0">
      <sharedItems/>
    </cacheField>
    <cacheField name="Store Size" numFmtId="0">
      <sharedItems containsSemiMixedTypes="0" containsString="0" containsNumber="1" containsInteger="1" minValue="1300" maxValue="2000"/>
    </cacheField>
    <cacheField name="Store Type" numFmtId="0">
      <sharedItems/>
    </cacheField>
    <cacheField name="Promotion ID" numFmtId="0">
      <sharedItems containsSemiMixedTypes="0" containsString="0" containsNumber="1" containsInteger="1" minValue="101" maxValue="125"/>
    </cacheField>
    <cacheField name="Type of Promotion" numFmtId="0">
      <sharedItems count="3">
        <s v="Discount"/>
        <s v="Buy-One-Get-One"/>
        <s v="Special Event"/>
      </sharedItems>
    </cacheField>
    <cacheField name="Promotion Start Date" numFmtId="164">
      <sharedItems containsSemiMixedTypes="0" containsNonDate="0" containsDate="1" containsString="0" minDate="2023-04-10T00:00:00" maxDate="2023-08-16T00:00:00"/>
    </cacheField>
    <cacheField name="Promotion End Date" numFmtId="164">
      <sharedItems containsSemiMixedTypes="0" containsNonDate="0" containsDate="1" containsString="0" minDate="2023-04-24T00:00:00" maxDate="2023-08-30T00:00:00"/>
    </cacheField>
    <cacheField name="Weekly Sales During Promotion" numFmtId="166">
      <sharedItems containsSemiMixedTypes="0" containsString="0" containsNumber="1" containsInteger="1" minValue="42000" maxValue="60000" count="17">
        <n v="50000"/>
        <n v="45000"/>
        <n v="60000"/>
        <n v="48000"/>
        <n v="53000"/>
        <n v="49000"/>
        <n v="42000"/>
        <n v="56000"/>
        <n v="47000"/>
        <n v="52000"/>
        <n v="51000"/>
        <n v="43000"/>
        <n v="55000"/>
        <n v="46000"/>
        <n v="58000"/>
        <n v="44000"/>
        <n v="54000"/>
      </sharedItems>
    </cacheField>
    <cacheField name="Weekly Sales Before Promotion" numFmtId="166">
      <sharedItems containsSemiMixedTypes="0" containsString="0" containsNumber="1" containsInteger="1" minValue="30000" maxValue="44000"/>
    </cacheField>
    <cacheField name="Weekly Sales After Promotion" numFmtId="166">
      <sharedItems containsSemiMixedTypes="0" containsString="0" containsNumber="1" containsInteger="1" minValue="30000" maxValue="45000"/>
    </cacheField>
    <cacheField name="Average Daily Visits During Promotion" numFmtId="0">
      <sharedItems containsSemiMixedTypes="0" containsString="0" containsNumber="1" containsInteger="1" minValue="350" maxValue="540"/>
    </cacheField>
    <cacheField name="Average Daily Visits Before Promotion" numFmtId="0">
      <sharedItems containsSemiMixedTypes="0" containsString="0" containsNumber="1" containsInteger="1" minValue="300" maxValue="430"/>
    </cacheField>
    <cacheField name="Average Daily Visits After Promotion" numFmtId="0">
      <sharedItems containsSemiMixedTypes="0" containsString="0" containsNumber="1" containsInteger="1" minValue="320" maxValue="450"/>
    </cacheField>
    <cacheField name="Sales uplift" numFmtId="166">
      <sharedItems containsSemiMixedTypes="0" containsString="0" containsNumber="1" containsInteger="1" minValue="2000" maxValue="20000"/>
    </cacheField>
    <cacheField name="Post-promotion retention" numFmtId="166">
      <sharedItems containsSemiMixedTypes="0" containsString="0" containsNumber="1" containsInteger="1" minValue="-5000" maxValue="10000"/>
    </cacheField>
    <cacheField name="Visit uplift" numFmtId="0">
      <sharedItems containsSemiMixedTypes="0" containsString="0" containsNumber="1" containsInteger="1" minValue="-10" maxValue="120"/>
    </cacheField>
    <cacheField name="Promotion Duration " numFmtId="0">
      <sharedItems containsSemiMixedTypes="0" containsString="0" containsNumber="1" containsInteger="1" minValue="13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s v="New York"/>
    <n v="2000"/>
    <s v="Urban"/>
    <n v="101"/>
    <x v="0"/>
    <d v="2023-06-01T00:00:00"/>
    <d v="2023-06-14T00:00:00"/>
    <x v="0"/>
    <n v="30000"/>
    <n v="35000"/>
    <n v="400"/>
    <n v="300"/>
    <n v="350"/>
    <n v="20000"/>
    <n v="5000"/>
    <n v="50"/>
    <n v="13"/>
  </r>
  <r>
    <n v="2"/>
    <s v="Los Angeles"/>
    <n v="1500"/>
    <s v="Suburban"/>
    <n v="102"/>
    <x v="1"/>
    <d v="2023-05-15T00:00:00"/>
    <d v="2023-05-28T00:00:00"/>
    <x v="1"/>
    <n v="35000"/>
    <n v="30000"/>
    <n v="450"/>
    <n v="400"/>
    <n v="375"/>
    <n v="10000"/>
    <n v="-5000"/>
    <n v="75"/>
    <n v="13"/>
  </r>
  <r>
    <n v="3"/>
    <s v="Chicago"/>
    <n v="1800"/>
    <s v="Urban"/>
    <n v="103"/>
    <x v="2"/>
    <d v="2023-07-01T00:00:00"/>
    <d v="2023-07-14T00:00:00"/>
    <x v="2"/>
    <n v="40000"/>
    <n v="40000"/>
    <n v="500"/>
    <n v="350"/>
    <n v="450"/>
    <n v="20000"/>
    <n v="0"/>
    <n v="50"/>
    <n v="13"/>
  </r>
  <r>
    <n v="4"/>
    <s v="Houston"/>
    <n v="1600"/>
    <s v="Suburban"/>
    <n v="104"/>
    <x v="0"/>
    <d v="2023-06-10T00:00:00"/>
    <d v="2023-06-24T00:00:00"/>
    <x v="3"/>
    <n v="32000"/>
    <n v="33000"/>
    <n v="425"/>
    <n v="310"/>
    <n v="320"/>
    <n v="16000"/>
    <n v="1000"/>
    <n v="105"/>
    <n v="14"/>
  </r>
  <r>
    <n v="5"/>
    <s v="Phoenix"/>
    <n v="1700"/>
    <s v="Urban"/>
    <n v="105"/>
    <x v="1"/>
    <d v="2023-04-20T00:00:00"/>
    <d v="2023-05-04T00:00:00"/>
    <x v="4"/>
    <n v="34000"/>
    <n v="36000"/>
    <n v="475"/>
    <n v="350"/>
    <n v="370"/>
    <n v="19000"/>
    <n v="2000"/>
    <n v="105"/>
    <n v="14"/>
  </r>
  <r>
    <n v="6"/>
    <s v="Philadelphia"/>
    <n v="1800"/>
    <s v="Urban"/>
    <n v="106"/>
    <x v="2"/>
    <d v="2023-08-05T00:00:00"/>
    <d v="2023-08-19T00:00:00"/>
    <x v="5"/>
    <n v="31000"/>
    <n v="41000"/>
    <n v="480"/>
    <n v="300"/>
    <n v="400"/>
    <n v="18000"/>
    <n v="10000"/>
    <n v="80"/>
    <n v="14"/>
  </r>
  <r>
    <n v="7"/>
    <s v="San Antonio"/>
    <n v="1400"/>
    <s v="Suburban"/>
    <n v="107"/>
    <x v="0"/>
    <d v="2023-07-15T00:00:00"/>
    <d v="2023-07-29T00:00:00"/>
    <x v="6"/>
    <n v="39000"/>
    <n v="37000"/>
    <n v="350"/>
    <n v="340"/>
    <n v="360"/>
    <n v="3000"/>
    <n v="-2000"/>
    <n v="-10"/>
    <n v="14"/>
  </r>
  <r>
    <n v="8"/>
    <s v="San Diego"/>
    <n v="2000"/>
    <s v="Urban"/>
    <n v="108"/>
    <x v="1"/>
    <d v="2023-06-22T00:00:00"/>
    <d v="2023-07-06T00:00:00"/>
    <x v="7"/>
    <n v="43000"/>
    <n v="39000"/>
    <n v="530"/>
    <n v="420"/>
    <n v="410"/>
    <n v="13000"/>
    <n v="-4000"/>
    <n v="120"/>
    <n v="14"/>
  </r>
  <r>
    <n v="9"/>
    <s v="Dallas"/>
    <n v="1500"/>
    <s v="Suburban"/>
    <n v="109"/>
    <x v="2"/>
    <d v="2023-05-10T00:00:00"/>
    <d v="2023-05-24T00:00:00"/>
    <x v="8"/>
    <n v="36000"/>
    <n v="38000"/>
    <n v="420"/>
    <n v="365"/>
    <n v="380"/>
    <n v="11000"/>
    <n v="2000"/>
    <n v="40"/>
    <n v="14"/>
  </r>
  <r>
    <n v="10"/>
    <s v="San Jose"/>
    <n v="1750"/>
    <s v="Urban"/>
    <n v="110"/>
    <x v="0"/>
    <d v="2023-04-15T00:00:00"/>
    <d v="2023-04-29T00:00:00"/>
    <x v="9"/>
    <n v="33000"/>
    <n v="41000"/>
    <n v="500"/>
    <n v="320"/>
    <n v="390"/>
    <n v="19000"/>
    <n v="8000"/>
    <n v="110"/>
    <n v="14"/>
  </r>
  <r>
    <n v="11"/>
    <s v="Austin"/>
    <n v="1600"/>
    <s v="Suburban"/>
    <n v="111"/>
    <x v="1"/>
    <d v="2023-08-01T00:00:00"/>
    <d v="2023-08-15T00:00:00"/>
    <x v="1"/>
    <n v="37000"/>
    <n v="34000"/>
    <n v="410"/>
    <n v="370"/>
    <n v="350"/>
    <n v="8000"/>
    <n v="-3000"/>
    <n v="60"/>
    <n v="14"/>
  </r>
  <r>
    <n v="12"/>
    <s v="Jacksonville"/>
    <n v="1450"/>
    <s v="Urban"/>
    <n v="112"/>
    <x v="2"/>
    <d v="2023-07-20T00:00:00"/>
    <d v="2023-08-03T00:00:00"/>
    <x v="10"/>
    <n v="38000"/>
    <n v="42000"/>
    <n v="470"/>
    <n v="360"/>
    <n v="410"/>
    <n v="13000"/>
    <n v="4000"/>
    <n v="60"/>
    <n v="14"/>
  </r>
  <r>
    <n v="13"/>
    <s v="Fort Worth"/>
    <n v="1550"/>
    <s v="Suburban"/>
    <n v="113"/>
    <x v="0"/>
    <d v="2023-06-18T00:00:00"/>
    <d v="2023-07-02T00:00:00"/>
    <x v="11"/>
    <n v="35000"/>
    <n v="36000"/>
    <n v="400"/>
    <n v="340"/>
    <n v="350"/>
    <n v="8000"/>
    <n v="1000"/>
    <n v="50"/>
    <n v="14"/>
  </r>
  <r>
    <n v="14"/>
    <s v="Columbus"/>
    <n v="1650"/>
    <s v="Urban"/>
    <n v="114"/>
    <x v="1"/>
    <d v="2023-05-25T00:00:00"/>
    <d v="2023-06-08T00:00:00"/>
    <x v="12"/>
    <n v="41000"/>
    <n v="45000"/>
    <n v="520"/>
    <n v="400"/>
    <n v="430"/>
    <n v="14000"/>
    <n v="4000"/>
    <n v="90"/>
    <n v="14"/>
  </r>
  <r>
    <n v="15"/>
    <s v="Charlotte"/>
    <n v="1750"/>
    <s v="Suburban"/>
    <n v="115"/>
    <x v="2"/>
    <d v="2023-04-30T00:00:00"/>
    <d v="2023-05-14T00:00:00"/>
    <x v="13"/>
    <n v="34000"/>
    <n v="37000"/>
    <n v="415"/>
    <n v="335"/>
    <n v="360"/>
    <n v="12000"/>
    <n v="3000"/>
    <n v="55"/>
    <n v="14"/>
  </r>
  <r>
    <n v="16"/>
    <s v="Detroit"/>
    <n v="1900"/>
    <s v="Urban"/>
    <n v="116"/>
    <x v="0"/>
    <d v="2023-08-10T00:00:00"/>
    <d v="2023-08-24T00:00:00"/>
    <x v="14"/>
    <n v="44000"/>
    <n v="42000"/>
    <n v="540"/>
    <n v="430"/>
    <n v="420"/>
    <n v="14000"/>
    <n v="-2000"/>
    <n v="120"/>
    <n v="14"/>
  </r>
  <r>
    <n v="17"/>
    <s v="El Paso"/>
    <n v="1300"/>
    <s v="Suburban"/>
    <n v="117"/>
    <x v="1"/>
    <d v="2023-07-12T00:00:00"/>
    <d v="2023-07-26T00:00:00"/>
    <x v="15"/>
    <n v="42000"/>
    <n v="40000"/>
    <n v="390"/>
    <n v="380"/>
    <n v="370"/>
    <n v="2000"/>
    <n v="-2000"/>
    <n v="20"/>
    <n v="14"/>
  </r>
  <r>
    <n v="18"/>
    <s v="Memphis"/>
    <n v="1450"/>
    <s v="Urban"/>
    <n v="118"/>
    <x v="2"/>
    <d v="2023-06-15T00:00:00"/>
    <d v="2023-06-29T00:00:00"/>
    <x v="8"/>
    <n v="35000"/>
    <n v="39000"/>
    <n v="410"/>
    <n v="330"/>
    <n v="380"/>
    <n v="12000"/>
    <n v="4000"/>
    <n v="30"/>
    <n v="14"/>
  </r>
  <r>
    <n v="19"/>
    <s v="Baltimore"/>
    <n v="1500"/>
    <s v="Suburban"/>
    <n v="119"/>
    <x v="0"/>
    <d v="2023-05-05T00:00:00"/>
    <d v="2023-05-19T00:00:00"/>
    <x v="5"/>
    <n v="37000"/>
    <n v="36000"/>
    <n v="420"/>
    <n v="360"/>
    <n v="350"/>
    <n v="12000"/>
    <n v="-1000"/>
    <n v="70"/>
    <n v="14"/>
  </r>
  <r>
    <n v="20"/>
    <s v="Boston"/>
    <n v="1650"/>
    <s v="Urban"/>
    <n v="120"/>
    <x v="1"/>
    <d v="2023-04-10T00:00:00"/>
    <d v="2023-04-24T00:00:00"/>
    <x v="16"/>
    <n v="40000"/>
    <n v="41000"/>
    <n v="510"/>
    <n v="390"/>
    <n v="400"/>
    <n v="14000"/>
    <n v="1000"/>
    <n v="110"/>
    <n v="14"/>
  </r>
  <r>
    <n v="21"/>
    <s v="Nashville"/>
    <n v="1550"/>
    <s v="Suburban"/>
    <n v="121"/>
    <x v="2"/>
    <d v="2023-08-15T00:00:00"/>
    <d v="2023-08-29T00:00:00"/>
    <x v="1"/>
    <n v="33000"/>
    <n v="35000"/>
    <n v="400"/>
    <n v="320"/>
    <n v="330"/>
    <n v="12000"/>
    <n v="2000"/>
    <n v="70"/>
    <n v="14"/>
  </r>
  <r>
    <n v="22"/>
    <s v="Denver"/>
    <n v="1600"/>
    <s v="Urban"/>
    <n v="122"/>
    <x v="0"/>
    <d v="2023-07-18T00:00:00"/>
    <d v="2023-08-01T00:00:00"/>
    <x v="0"/>
    <n v="39000"/>
    <n v="42000"/>
    <n v="480"/>
    <n v="370"/>
    <n v="400"/>
    <n v="11000"/>
    <n v="3000"/>
    <n v="80"/>
    <n v="14"/>
  </r>
  <r>
    <n v="23"/>
    <s v="Louisville"/>
    <n v="1350"/>
    <s v="Suburban"/>
    <n v="123"/>
    <x v="1"/>
    <d v="2023-06-20T00:00:00"/>
    <d v="2023-07-04T00:00:00"/>
    <x v="3"/>
    <n v="36000"/>
    <n v="37000"/>
    <n v="410"/>
    <n v="350"/>
    <n v="360"/>
    <n v="12000"/>
    <n v="1000"/>
    <n v="50"/>
    <n v="14"/>
  </r>
  <r>
    <n v="24"/>
    <s v="Portland"/>
    <n v="1400"/>
    <s v="Urban"/>
    <n v="124"/>
    <x v="2"/>
    <d v="2023-05-15T00:00:00"/>
    <d v="2023-05-29T00:00:00"/>
    <x v="9"/>
    <n v="41000"/>
    <n v="43000"/>
    <n v="470"/>
    <n v="400"/>
    <n v="420"/>
    <n v="11000"/>
    <n v="2000"/>
    <n v="50"/>
    <n v="14"/>
  </r>
  <r>
    <n v="25"/>
    <s v="Milwaukee"/>
    <n v="1500"/>
    <s v="Suburban"/>
    <n v="125"/>
    <x v="0"/>
    <d v="2023-04-20T00:00:00"/>
    <d v="2023-05-04T00:00:00"/>
    <x v="8"/>
    <n v="35000"/>
    <n v="38000"/>
    <n v="400"/>
    <n v="340"/>
    <n v="370"/>
    <n v="12000"/>
    <n v="3000"/>
    <n v="3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79952-1A59-4A64-92CF-90D866CAC856}" name="PivotTable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5" firstHeaderRow="1" firstDataRow="1" firstDataCol="1"/>
  <pivotFields count="18"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numFmtId="164" outline="0" showAll="0"/>
    <pivotField compact="0" numFmtId="164" outline="0" showAll="0"/>
    <pivotField dataField="1" compact="0" numFmtId="166" outline="0" showAll="0">
      <items count="18">
        <item x="6"/>
        <item x="11"/>
        <item x="15"/>
        <item x="1"/>
        <item x="13"/>
        <item x="8"/>
        <item x="3"/>
        <item x="5"/>
        <item x="0"/>
        <item x="10"/>
        <item x="9"/>
        <item x="4"/>
        <item x="16"/>
        <item x="12"/>
        <item x="7"/>
        <item x="14"/>
        <item x="2"/>
        <item t="default"/>
      </items>
    </pivotField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Weekly Sales During Promotion" fld="8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B6C05-6878-4968-B378-95644011D360}" name="Table1" displayName="Table1" ref="A1:R26" totalsRowShown="0" headerRowDxfId="9">
  <autoFilter ref="A1:R26" xr:uid="{67DB6C05-6878-4968-B378-95644011D360}"/>
  <tableColumns count="18">
    <tableColumn id="1" xr3:uid="{3DDDBCF6-C850-4502-8271-F5B7BAA19E23}" name="Store ID" dataDxfId="8"/>
    <tableColumn id="2" xr3:uid="{3070932D-D8F5-4248-A8B8-90C224371E06}" name="Location"/>
    <tableColumn id="3" xr3:uid="{E4D3A266-C41B-463F-A488-B72743E07345}" name="Store Size"/>
    <tableColumn id="4" xr3:uid="{4D9714C5-C48E-4A84-9F8B-554C8A1F4276}" name="Store Type"/>
    <tableColumn id="5" xr3:uid="{91D230CC-6334-43BA-89E0-5D53FF2B2EED}" name="Promotion ID"/>
    <tableColumn id="6" xr3:uid="{F636231E-A6B4-467D-8451-F6DD8EF9E149}" name="Type of Promotion"/>
    <tableColumn id="7" xr3:uid="{322DCF1F-B304-4019-9AF9-20C677AF0BB8}" name="Promotion Start Date" dataDxfId="7"/>
    <tableColumn id="8" xr3:uid="{D429060B-7E3E-43A5-9A5A-C178F8141D80}" name="Promotion End Date" dataDxfId="6"/>
    <tableColumn id="9" xr3:uid="{79A5A1C0-4DA2-4231-A2A7-211348B4A320}" name="Weekly Sales During Promotion" dataDxfId="5"/>
    <tableColumn id="10" xr3:uid="{FAE3A862-3C4F-4AA8-83BB-DCE6F01D78A0}" name="Weekly Sales Before Promotion" dataDxfId="4"/>
    <tableColumn id="11" xr3:uid="{AAB915E7-2D7A-4B15-A8A5-23EE9387A797}" name="Weekly Sales After Promotion" dataDxfId="3"/>
    <tableColumn id="12" xr3:uid="{3E54798D-EECD-4A7F-8A51-E7F43261E1D4}" name="Average Daily Visits During Promotion"/>
    <tableColumn id="13" xr3:uid="{D980C5F4-66E6-43CC-A570-129F73BB38A3}" name="Average Daily Visits Before Promotion"/>
    <tableColumn id="14" xr3:uid="{07BF2D0A-362D-45DC-A96E-86CDE0EAFF13}" name="Average Daily Visits After Promotion"/>
    <tableColumn id="15" xr3:uid="{D85320B9-22AF-443C-8424-4DA1E8E199DF}" name="Sales uplift" dataDxfId="2">
      <calculatedColumnFormula>I2-J2</calculatedColumnFormula>
    </tableColumn>
    <tableColumn id="16" xr3:uid="{D0047790-DCE0-4C33-AE3A-309A921F1628}" name="Post-promotion retention" dataDxfId="1">
      <calculatedColumnFormula>K2-J2</calculatedColumnFormula>
    </tableColumn>
    <tableColumn id="17" xr3:uid="{43F43850-5289-405E-83B7-23BF1B17E920}" name="Visit uplift">
      <calculatedColumnFormula>L2-N2</calculatedColumnFormula>
    </tableColumn>
    <tableColumn id="18" xr3:uid="{EACF523A-7BF2-4A2F-AFF2-4FCF105C1FA3}" name="Promotion Duration " dataDxfId="0">
      <calculatedColumnFormula>Table1[[#This Row],[Promotion End Date]]-Table1[[#This Row],[Promotion Start Date]]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4F8D-85C0-AD4A-84D6-E41ACF3D7A83}">
  <dimension ref="A1:R26"/>
  <sheetViews>
    <sheetView workbookViewId="0">
      <selection sqref="A1:R26"/>
    </sheetView>
  </sheetViews>
  <sheetFormatPr defaultColWidth="11" defaultRowHeight="15.95"/>
  <cols>
    <col min="1" max="1" width="9.625" bestFit="1" customWidth="1"/>
    <col min="2" max="3" width="11.125" bestFit="1" customWidth="1"/>
    <col min="4" max="4" width="11.875" bestFit="1" customWidth="1"/>
    <col min="5" max="5" width="14.125" bestFit="1" customWidth="1"/>
    <col min="6" max="6" width="18.625" bestFit="1" customWidth="1"/>
    <col min="7" max="7" width="21" style="1" bestFit="1" customWidth="1"/>
    <col min="8" max="8" width="20.125" style="1" bestFit="1" customWidth="1"/>
    <col min="9" max="9" width="27.375" bestFit="1" customWidth="1"/>
    <col min="10" max="10" width="27.5" bestFit="1" customWidth="1"/>
    <col min="11" max="11" width="26.875" bestFit="1" customWidth="1"/>
    <col min="12" max="12" width="32.875" bestFit="1" customWidth="1"/>
    <col min="13" max="13" width="33" bestFit="1" customWidth="1"/>
    <col min="14" max="14" width="31.5" bestFit="1" customWidth="1"/>
    <col min="15" max="15" width="12.125" bestFit="1" customWidth="1"/>
    <col min="16" max="16" width="24.75" bestFit="1" customWidth="1"/>
    <col min="17" max="17" width="11.625" bestFit="1" customWidth="1"/>
  </cols>
  <sheetData>
    <row r="1" spans="1:18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14</v>
      </c>
      <c r="P1" s="6" t="s">
        <v>15</v>
      </c>
      <c r="Q1" s="3" t="s">
        <v>16</v>
      </c>
      <c r="R1" s="3" t="s">
        <v>17</v>
      </c>
    </row>
    <row r="2" spans="1:18">
      <c r="A2" s="2">
        <v>1</v>
      </c>
      <c r="B2" t="s">
        <v>18</v>
      </c>
      <c r="C2">
        <v>2000</v>
      </c>
      <c r="D2" t="s">
        <v>19</v>
      </c>
      <c r="E2">
        <v>101</v>
      </c>
      <c r="F2" t="s">
        <v>20</v>
      </c>
      <c r="G2" s="1">
        <v>45078</v>
      </c>
      <c r="H2" s="1">
        <v>45091</v>
      </c>
      <c r="I2" s="5">
        <v>50000</v>
      </c>
      <c r="J2" s="5">
        <v>30000</v>
      </c>
      <c r="K2" s="5">
        <v>35000</v>
      </c>
      <c r="L2">
        <v>400</v>
      </c>
      <c r="M2">
        <v>300</v>
      </c>
      <c r="N2">
        <v>350</v>
      </c>
      <c r="O2" s="5">
        <f>I2-J2</f>
        <v>20000</v>
      </c>
      <c r="P2" s="5">
        <f>K2-J2</f>
        <v>5000</v>
      </c>
      <c r="Q2">
        <f>L2-N2</f>
        <v>50</v>
      </c>
      <c r="R2">
        <f>Table1[[#This Row],[Promotion End Date]]-Table1[[#This Row],[Promotion Start Date]]</f>
        <v>13</v>
      </c>
    </row>
    <row r="3" spans="1:18">
      <c r="A3" s="2">
        <v>2</v>
      </c>
      <c r="B3" t="s">
        <v>21</v>
      </c>
      <c r="C3">
        <v>1500</v>
      </c>
      <c r="D3" t="s">
        <v>22</v>
      </c>
      <c r="E3">
        <v>102</v>
      </c>
      <c r="F3" t="s">
        <v>23</v>
      </c>
      <c r="G3" s="1">
        <v>45061</v>
      </c>
      <c r="H3" s="1">
        <v>45074</v>
      </c>
      <c r="I3" s="5">
        <v>45000</v>
      </c>
      <c r="J3" s="5">
        <v>35000</v>
      </c>
      <c r="K3" s="5">
        <v>30000</v>
      </c>
      <c r="L3">
        <v>450</v>
      </c>
      <c r="M3">
        <v>400</v>
      </c>
      <c r="N3">
        <v>375</v>
      </c>
      <c r="O3" s="5">
        <f t="shared" ref="O3:O26" si="0">I3-J3</f>
        <v>10000</v>
      </c>
      <c r="P3" s="5">
        <f t="shared" ref="P3:P26" si="1">K3-J3</f>
        <v>-5000</v>
      </c>
      <c r="Q3">
        <f t="shared" ref="Q3:Q26" si="2">L3-N3</f>
        <v>75</v>
      </c>
      <c r="R3">
        <f>Table1[[#This Row],[Promotion End Date]]-Table1[[#This Row],[Promotion Start Date]]</f>
        <v>13</v>
      </c>
    </row>
    <row r="4" spans="1:18">
      <c r="A4" s="2">
        <v>3</v>
      </c>
      <c r="B4" t="s">
        <v>24</v>
      </c>
      <c r="C4">
        <v>1800</v>
      </c>
      <c r="D4" t="s">
        <v>19</v>
      </c>
      <c r="E4">
        <v>103</v>
      </c>
      <c r="F4" t="s">
        <v>25</v>
      </c>
      <c r="G4" s="1">
        <v>45108</v>
      </c>
      <c r="H4" s="1">
        <v>45121</v>
      </c>
      <c r="I4" s="5">
        <v>60000</v>
      </c>
      <c r="J4" s="5">
        <v>40000</v>
      </c>
      <c r="K4" s="5">
        <v>40000</v>
      </c>
      <c r="L4">
        <v>500</v>
      </c>
      <c r="M4">
        <v>350</v>
      </c>
      <c r="N4">
        <v>450</v>
      </c>
      <c r="O4" s="5">
        <f t="shared" si="0"/>
        <v>20000</v>
      </c>
      <c r="P4" s="5">
        <f t="shared" si="1"/>
        <v>0</v>
      </c>
      <c r="Q4">
        <f t="shared" si="2"/>
        <v>50</v>
      </c>
      <c r="R4">
        <f>Table1[[#This Row],[Promotion End Date]]-Table1[[#This Row],[Promotion Start Date]]</f>
        <v>13</v>
      </c>
    </row>
    <row r="5" spans="1:18">
      <c r="A5" s="2">
        <v>4</v>
      </c>
      <c r="B5" t="s">
        <v>26</v>
      </c>
      <c r="C5">
        <v>1600</v>
      </c>
      <c r="D5" t="s">
        <v>22</v>
      </c>
      <c r="E5">
        <v>104</v>
      </c>
      <c r="F5" t="s">
        <v>20</v>
      </c>
      <c r="G5" s="1">
        <v>45087</v>
      </c>
      <c r="H5" s="1">
        <v>45101</v>
      </c>
      <c r="I5" s="5">
        <v>48000</v>
      </c>
      <c r="J5" s="5">
        <v>32000</v>
      </c>
      <c r="K5" s="5">
        <v>33000</v>
      </c>
      <c r="L5">
        <v>425</v>
      </c>
      <c r="M5">
        <v>310</v>
      </c>
      <c r="N5">
        <v>320</v>
      </c>
      <c r="O5" s="5">
        <f t="shared" si="0"/>
        <v>16000</v>
      </c>
      <c r="P5" s="5">
        <f t="shared" si="1"/>
        <v>1000</v>
      </c>
      <c r="Q5">
        <f t="shared" si="2"/>
        <v>105</v>
      </c>
      <c r="R5">
        <f>Table1[[#This Row],[Promotion End Date]]-Table1[[#This Row],[Promotion Start Date]]</f>
        <v>14</v>
      </c>
    </row>
    <row r="6" spans="1:18">
      <c r="A6" s="2">
        <v>5</v>
      </c>
      <c r="B6" t="s">
        <v>27</v>
      </c>
      <c r="C6">
        <v>1700</v>
      </c>
      <c r="D6" t="s">
        <v>19</v>
      </c>
      <c r="E6">
        <v>105</v>
      </c>
      <c r="F6" t="s">
        <v>23</v>
      </c>
      <c r="G6" s="1">
        <v>45036</v>
      </c>
      <c r="H6" s="1">
        <v>45050</v>
      </c>
      <c r="I6" s="5">
        <v>53000</v>
      </c>
      <c r="J6" s="5">
        <v>34000</v>
      </c>
      <c r="K6" s="5">
        <v>36000</v>
      </c>
      <c r="L6">
        <v>475</v>
      </c>
      <c r="M6">
        <v>350</v>
      </c>
      <c r="N6">
        <v>370</v>
      </c>
      <c r="O6" s="5">
        <f t="shared" si="0"/>
        <v>19000</v>
      </c>
      <c r="P6" s="5">
        <f t="shared" si="1"/>
        <v>2000</v>
      </c>
      <c r="Q6">
        <f t="shared" si="2"/>
        <v>105</v>
      </c>
      <c r="R6">
        <f>Table1[[#This Row],[Promotion End Date]]-Table1[[#This Row],[Promotion Start Date]]</f>
        <v>14</v>
      </c>
    </row>
    <row r="7" spans="1:18">
      <c r="A7" s="2">
        <v>6</v>
      </c>
      <c r="B7" t="s">
        <v>28</v>
      </c>
      <c r="C7">
        <v>1800</v>
      </c>
      <c r="D7" t="s">
        <v>19</v>
      </c>
      <c r="E7">
        <v>106</v>
      </c>
      <c r="F7" t="s">
        <v>25</v>
      </c>
      <c r="G7" s="1">
        <v>45143</v>
      </c>
      <c r="H7" s="1">
        <v>45157</v>
      </c>
      <c r="I7" s="5">
        <v>49000</v>
      </c>
      <c r="J7" s="5">
        <v>31000</v>
      </c>
      <c r="K7" s="5">
        <v>41000</v>
      </c>
      <c r="L7">
        <v>480</v>
      </c>
      <c r="M7">
        <v>300</v>
      </c>
      <c r="N7">
        <v>400</v>
      </c>
      <c r="O7" s="5">
        <f t="shared" si="0"/>
        <v>18000</v>
      </c>
      <c r="P7" s="5">
        <f t="shared" si="1"/>
        <v>10000</v>
      </c>
      <c r="Q7">
        <f t="shared" si="2"/>
        <v>80</v>
      </c>
      <c r="R7">
        <f>Table1[[#This Row],[Promotion End Date]]-Table1[[#This Row],[Promotion Start Date]]</f>
        <v>14</v>
      </c>
    </row>
    <row r="8" spans="1:18">
      <c r="A8" s="2">
        <v>7</v>
      </c>
      <c r="B8" t="s">
        <v>29</v>
      </c>
      <c r="C8">
        <v>1400</v>
      </c>
      <c r="D8" t="s">
        <v>22</v>
      </c>
      <c r="E8">
        <v>107</v>
      </c>
      <c r="F8" t="s">
        <v>20</v>
      </c>
      <c r="G8" s="1">
        <v>45122</v>
      </c>
      <c r="H8" s="1">
        <v>45136</v>
      </c>
      <c r="I8" s="5">
        <v>42000</v>
      </c>
      <c r="J8" s="5">
        <v>39000</v>
      </c>
      <c r="K8" s="5">
        <v>37000</v>
      </c>
      <c r="L8">
        <v>350</v>
      </c>
      <c r="M8">
        <v>340</v>
      </c>
      <c r="N8">
        <v>360</v>
      </c>
      <c r="O8" s="5">
        <f t="shared" si="0"/>
        <v>3000</v>
      </c>
      <c r="P8" s="5">
        <f t="shared" si="1"/>
        <v>-2000</v>
      </c>
      <c r="Q8">
        <f t="shared" si="2"/>
        <v>-10</v>
      </c>
      <c r="R8">
        <f>Table1[[#This Row],[Promotion End Date]]-Table1[[#This Row],[Promotion Start Date]]</f>
        <v>14</v>
      </c>
    </row>
    <row r="9" spans="1:18">
      <c r="A9" s="2">
        <v>8</v>
      </c>
      <c r="B9" t="s">
        <v>30</v>
      </c>
      <c r="C9">
        <v>2000</v>
      </c>
      <c r="D9" t="s">
        <v>19</v>
      </c>
      <c r="E9">
        <v>108</v>
      </c>
      <c r="F9" t="s">
        <v>23</v>
      </c>
      <c r="G9" s="1">
        <v>45099</v>
      </c>
      <c r="H9" s="1">
        <v>45113</v>
      </c>
      <c r="I9" s="5">
        <v>56000</v>
      </c>
      <c r="J9" s="5">
        <v>43000</v>
      </c>
      <c r="K9" s="5">
        <v>39000</v>
      </c>
      <c r="L9">
        <v>530</v>
      </c>
      <c r="M9">
        <v>420</v>
      </c>
      <c r="N9">
        <v>410</v>
      </c>
      <c r="O9" s="5">
        <f t="shared" si="0"/>
        <v>13000</v>
      </c>
      <c r="P9" s="5">
        <f t="shared" si="1"/>
        <v>-4000</v>
      </c>
      <c r="Q9">
        <f t="shared" si="2"/>
        <v>120</v>
      </c>
      <c r="R9">
        <f>Table1[[#This Row],[Promotion End Date]]-Table1[[#This Row],[Promotion Start Date]]</f>
        <v>14</v>
      </c>
    </row>
    <row r="10" spans="1:18">
      <c r="A10" s="2">
        <v>9</v>
      </c>
      <c r="B10" t="s">
        <v>31</v>
      </c>
      <c r="C10">
        <v>1500</v>
      </c>
      <c r="D10" t="s">
        <v>22</v>
      </c>
      <c r="E10">
        <v>109</v>
      </c>
      <c r="F10" t="s">
        <v>25</v>
      </c>
      <c r="G10" s="1">
        <v>45056</v>
      </c>
      <c r="H10" s="1">
        <v>45070</v>
      </c>
      <c r="I10" s="5">
        <v>47000</v>
      </c>
      <c r="J10" s="5">
        <v>36000</v>
      </c>
      <c r="K10" s="5">
        <v>38000</v>
      </c>
      <c r="L10">
        <v>420</v>
      </c>
      <c r="M10">
        <v>365</v>
      </c>
      <c r="N10">
        <v>380</v>
      </c>
      <c r="O10" s="5">
        <f t="shared" si="0"/>
        <v>11000</v>
      </c>
      <c r="P10" s="5">
        <f t="shared" si="1"/>
        <v>2000</v>
      </c>
      <c r="Q10">
        <f t="shared" si="2"/>
        <v>40</v>
      </c>
      <c r="R10">
        <f>Table1[[#This Row],[Promotion End Date]]-Table1[[#This Row],[Promotion Start Date]]</f>
        <v>14</v>
      </c>
    </row>
    <row r="11" spans="1:18">
      <c r="A11" s="2">
        <v>10</v>
      </c>
      <c r="B11" t="s">
        <v>32</v>
      </c>
      <c r="C11">
        <v>1750</v>
      </c>
      <c r="D11" t="s">
        <v>19</v>
      </c>
      <c r="E11">
        <v>110</v>
      </c>
      <c r="F11" t="s">
        <v>20</v>
      </c>
      <c r="G11" s="1">
        <v>45031</v>
      </c>
      <c r="H11" s="1">
        <v>45045</v>
      </c>
      <c r="I11" s="5">
        <v>52000</v>
      </c>
      <c r="J11" s="5">
        <v>33000</v>
      </c>
      <c r="K11" s="5">
        <v>41000</v>
      </c>
      <c r="L11">
        <v>500</v>
      </c>
      <c r="M11">
        <v>320</v>
      </c>
      <c r="N11">
        <v>390</v>
      </c>
      <c r="O11" s="5">
        <f t="shared" si="0"/>
        <v>19000</v>
      </c>
      <c r="P11" s="5">
        <f t="shared" si="1"/>
        <v>8000</v>
      </c>
      <c r="Q11">
        <f t="shared" si="2"/>
        <v>110</v>
      </c>
      <c r="R11">
        <f>Table1[[#This Row],[Promotion End Date]]-Table1[[#This Row],[Promotion Start Date]]</f>
        <v>14</v>
      </c>
    </row>
    <row r="12" spans="1:18">
      <c r="A12" s="2">
        <v>11</v>
      </c>
      <c r="B12" t="s">
        <v>33</v>
      </c>
      <c r="C12">
        <v>1600</v>
      </c>
      <c r="D12" t="s">
        <v>22</v>
      </c>
      <c r="E12">
        <v>111</v>
      </c>
      <c r="F12" t="s">
        <v>23</v>
      </c>
      <c r="G12" s="1">
        <v>45139</v>
      </c>
      <c r="H12" s="1">
        <v>45153</v>
      </c>
      <c r="I12" s="5">
        <v>45000</v>
      </c>
      <c r="J12" s="5">
        <v>37000</v>
      </c>
      <c r="K12" s="5">
        <v>34000</v>
      </c>
      <c r="L12">
        <v>410</v>
      </c>
      <c r="M12">
        <v>370</v>
      </c>
      <c r="N12">
        <v>350</v>
      </c>
      <c r="O12" s="5">
        <f t="shared" si="0"/>
        <v>8000</v>
      </c>
      <c r="P12" s="5">
        <f t="shared" si="1"/>
        <v>-3000</v>
      </c>
      <c r="Q12">
        <f t="shared" si="2"/>
        <v>60</v>
      </c>
      <c r="R12">
        <f>Table1[[#This Row],[Promotion End Date]]-Table1[[#This Row],[Promotion Start Date]]</f>
        <v>14</v>
      </c>
    </row>
    <row r="13" spans="1:18">
      <c r="A13" s="2">
        <v>12</v>
      </c>
      <c r="B13" t="s">
        <v>34</v>
      </c>
      <c r="C13">
        <v>1450</v>
      </c>
      <c r="D13" t="s">
        <v>19</v>
      </c>
      <c r="E13">
        <v>112</v>
      </c>
      <c r="F13" t="s">
        <v>25</v>
      </c>
      <c r="G13" s="1">
        <v>45127</v>
      </c>
      <c r="H13" s="1">
        <v>45141</v>
      </c>
      <c r="I13" s="5">
        <v>51000</v>
      </c>
      <c r="J13" s="5">
        <v>38000</v>
      </c>
      <c r="K13" s="5">
        <v>42000</v>
      </c>
      <c r="L13">
        <v>470</v>
      </c>
      <c r="M13">
        <v>360</v>
      </c>
      <c r="N13">
        <v>410</v>
      </c>
      <c r="O13" s="5">
        <f t="shared" si="0"/>
        <v>13000</v>
      </c>
      <c r="P13" s="5">
        <f t="shared" si="1"/>
        <v>4000</v>
      </c>
      <c r="Q13">
        <f t="shared" si="2"/>
        <v>60</v>
      </c>
      <c r="R13">
        <f>Table1[[#This Row],[Promotion End Date]]-Table1[[#This Row],[Promotion Start Date]]</f>
        <v>14</v>
      </c>
    </row>
    <row r="14" spans="1:18">
      <c r="A14" s="2">
        <v>13</v>
      </c>
      <c r="B14" t="s">
        <v>35</v>
      </c>
      <c r="C14">
        <v>1550</v>
      </c>
      <c r="D14" t="s">
        <v>22</v>
      </c>
      <c r="E14">
        <v>113</v>
      </c>
      <c r="F14" t="s">
        <v>20</v>
      </c>
      <c r="G14" s="1">
        <v>45095</v>
      </c>
      <c r="H14" s="1">
        <v>45109</v>
      </c>
      <c r="I14" s="5">
        <v>43000</v>
      </c>
      <c r="J14" s="5">
        <v>35000</v>
      </c>
      <c r="K14" s="5">
        <v>36000</v>
      </c>
      <c r="L14">
        <v>400</v>
      </c>
      <c r="M14">
        <v>340</v>
      </c>
      <c r="N14">
        <v>350</v>
      </c>
      <c r="O14" s="5">
        <f t="shared" si="0"/>
        <v>8000</v>
      </c>
      <c r="P14" s="5">
        <f t="shared" si="1"/>
        <v>1000</v>
      </c>
      <c r="Q14">
        <f t="shared" si="2"/>
        <v>50</v>
      </c>
      <c r="R14">
        <f>Table1[[#This Row],[Promotion End Date]]-Table1[[#This Row],[Promotion Start Date]]</f>
        <v>14</v>
      </c>
    </row>
    <row r="15" spans="1:18">
      <c r="A15" s="2">
        <v>14</v>
      </c>
      <c r="B15" t="s">
        <v>36</v>
      </c>
      <c r="C15">
        <v>1650</v>
      </c>
      <c r="D15" t="s">
        <v>19</v>
      </c>
      <c r="E15">
        <v>114</v>
      </c>
      <c r="F15" t="s">
        <v>23</v>
      </c>
      <c r="G15" s="1">
        <v>45071</v>
      </c>
      <c r="H15" s="1">
        <v>45085</v>
      </c>
      <c r="I15" s="5">
        <v>55000</v>
      </c>
      <c r="J15" s="5">
        <v>41000</v>
      </c>
      <c r="K15" s="5">
        <v>45000</v>
      </c>
      <c r="L15">
        <v>520</v>
      </c>
      <c r="M15">
        <v>400</v>
      </c>
      <c r="N15">
        <v>430</v>
      </c>
      <c r="O15" s="5">
        <f t="shared" si="0"/>
        <v>14000</v>
      </c>
      <c r="P15" s="5">
        <f t="shared" si="1"/>
        <v>4000</v>
      </c>
      <c r="Q15">
        <f t="shared" si="2"/>
        <v>90</v>
      </c>
      <c r="R15">
        <f>Table1[[#This Row],[Promotion End Date]]-Table1[[#This Row],[Promotion Start Date]]</f>
        <v>14</v>
      </c>
    </row>
    <row r="16" spans="1:18">
      <c r="A16" s="2">
        <v>15</v>
      </c>
      <c r="B16" t="s">
        <v>37</v>
      </c>
      <c r="C16">
        <v>1750</v>
      </c>
      <c r="D16" t="s">
        <v>22</v>
      </c>
      <c r="E16">
        <v>115</v>
      </c>
      <c r="F16" t="s">
        <v>25</v>
      </c>
      <c r="G16" s="1">
        <v>45046</v>
      </c>
      <c r="H16" s="1">
        <v>45060</v>
      </c>
      <c r="I16" s="5">
        <v>46000</v>
      </c>
      <c r="J16" s="5">
        <v>34000</v>
      </c>
      <c r="K16" s="5">
        <v>37000</v>
      </c>
      <c r="L16">
        <v>415</v>
      </c>
      <c r="M16">
        <v>335</v>
      </c>
      <c r="N16">
        <v>360</v>
      </c>
      <c r="O16" s="5">
        <f t="shared" si="0"/>
        <v>12000</v>
      </c>
      <c r="P16" s="5">
        <f t="shared" si="1"/>
        <v>3000</v>
      </c>
      <c r="Q16">
        <f t="shared" si="2"/>
        <v>55</v>
      </c>
      <c r="R16">
        <f>Table1[[#This Row],[Promotion End Date]]-Table1[[#This Row],[Promotion Start Date]]</f>
        <v>14</v>
      </c>
    </row>
    <row r="17" spans="1:18">
      <c r="A17" s="2">
        <v>16</v>
      </c>
      <c r="B17" t="s">
        <v>38</v>
      </c>
      <c r="C17">
        <v>1900</v>
      </c>
      <c r="D17" t="s">
        <v>19</v>
      </c>
      <c r="E17">
        <v>116</v>
      </c>
      <c r="F17" t="s">
        <v>20</v>
      </c>
      <c r="G17" s="1">
        <v>45148</v>
      </c>
      <c r="H17" s="1">
        <v>45162</v>
      </c>
      <c r="I17" s="5">
        <v>58000</v>
      </c>
      <c r="J17" s="5">
        <v>44000</v>
      </c>
      <c r="K17" s="5">
        <v>42000</v>
      </c>
      <c r="L17">
        <v>540</v>
      </c>
      <c r="M17">
        <v>430</v>
      </c>
      <c r="N17">
        <v>420</v>
      </c>
      <c r="O17" s="5">
        <f t="shared" si="0"/>
        <v>14000</v>
      </c>
      <c r="P17" s="5">
        <f t="shared" si="1"/>
        <v>-2000</v>
      </c>
      <c r="Q17">
        <f t="shared" si="2"/>
        <v>120</v>
      </c>
      <c r="R17">
        <f>Table1[[#This Row],[Promotion End Date]]-Table1[[#This Row],[Promotion Start Date]]</f>
        <v>14</v>
      </c>
    </row>
    <row r="18" spans="1:18">
      <c r="A18" s="2">
        <v>17</v>
      </c>
      <c r="B18" t="s">
        <v>39</v>
      </c>
      <c r="C18">
        <v>1300</v>
      </c>
      <c r="D18" t="s">
        <v>22</v>
      </c>
      <c r="E18">
        <v>117</v>
      </c>
      <c r="F18" t="s">
        <v>23</v>
      </c>
      <c r="G18" s="1">
        <v>45119</v>
      </c>
      <c r="H18" s="1">
        <v>45133</v>
      </c>
      <c r="I18" s="5">
        <v>44000</v>
      </c>
      <c r="J18" s="5">
        <v>42000</v>
      </c>
      <c r="K18" s="5">
        <v>40000</v>
      </c>
      <c r="L18">
        <v>390</v>
      </c>
      <c r="M18">
        <v>380</v>
      </c>
      <c r="N18">
        <v>370</v>
      </c>
      <c r="O18" s="5">
        <f t="shared" si="0"/>
        <v>2000</v>
      </c>
      <c r="P18" s="5">
        <f t="shared" si="1"/>
        <v>-2000</v>
      </c>
      <c r="Q18">
        <f t="shared" si="2"/>
        <v>20</v>
      </c>
      <c r="R18">
        <f>Table1[[#This Row],[Promotion End Date]]-Table1[[#This Row],[Promotion Start Date]]</f>
        <v>14</v>
      </c>
    </row>
    <row r="19" spans="1:18">
      <c r="A19" s="2">
        <v>18</v>
      </c>
      <c r="B19" t="s">
        <v>40</v>
      </c>
      <c r="C19">
        <v>1450</v>
      </c>
      <c r="D19" t="s">
        <v>19</v>
      </c>
      <c r="E19">
        <v>118</v>
      </c>
      <c r="F19" t="s">
        <v>25</v>
      </c>
      <c r="G19" s="1">
        <v>45092</v>
      </c>
      <c r="H19" s="1">
        <v>45106</v>
      </c>
      <c r="I19" s="5">
        <v>47000</v>
      </c>
      <c r="J19" s="5">
        <v>35000</v>
      </c>
      <c r="K19" s="5">
        <v>39000</v>
      </c>
      <c r="L19">
        <v>410</v>
      </c>
      <c r="M19">
        <v>330</v>
      </c>
      <c r="N19">
        <v>380</v>
      </c>
      <c r="O19" s="5">
        <f t="shared" si="0"/>
        <v>12000</v>
      </c>
      <c r="P19" s="5">
        <f t="shared" si="1"/>
        <v>4000</v>
      </c>
      <c r="Q19">
        <f t="shared" si="2"/>
        <v>30</v>
      </c>
      <c r="R19">
        <f>Table1[[#This Row],[Promotion End Date]]-Table1[[#This Row],[Promotion Start Date]]</f>
        <v>14</v>
      </c>
    </row>
    <row r="20" spans="1:18">
      <c r="A20" s="2">
        <v>19</v>
      </c>
      <c r="B20" t="s">
        <v>41</v>
      </c>
      <c r="C20">
        <v>1500</v>
      </c>
      <c r="D20" t="s">
        <v>22</v>
      </c>
      <c r="E20">
        <v>119</v>
      </c>
      <c r="F20" t="s">
        <v>20</v>
      </c>
      <c r="G20" s="1">
        <v>45051</v>
      </c>
      <c r="H20" s="1">
        <v>45065</v>
      </c>
      <c r="I20" s="5">
        <v>49000</v>
      </c>
      <c r="J20" s="5">
        <v>37000</v>
      </c>
      <c r="K20" s="5">
        <v>36000</v>
      </c>
      <c r="L20">
        <v>420</v>
      </c>
      <c r="M20">
        <v>360</v>
      </c>
      <c r="N20">
        <v>350</v>
      </c>
      <c r="O20" s="5">
        <f t="shared" si="0"/>
        <v>12000</v>
      </c>
      <c r="P20" s="5">
        <f t="shared" si="1"/>
        <v>-1000</v>
      </c>
      <c r="Q20">
        <f t="shared" si="2"/>
        <v>70</v>
      </c>
      <c r="R20">
        <f>Table1[[#This Row],[Promotion End Date]]-Table1[[#This Row],[Promotion Start Date]]</f>
        <v>14</v>
      </c>
    </row>
    <row r="21" spans="1:18">
      <c r="A21" s="2">
        <v>20</v>
      </c>
      <c r="B21" t="s">
        <v>42</v>
      </c>
      <c r="C21">
        <v>1650</v>
      </c>
      <c r="D21" t="s">
        <v>19</v>
      </c>
      <c r="E21">
        <v>120</v>
      </c>
      <c r="F21" t="s">
        <v>23</v>
      </c>
      <c r="G21" s="1">
        <v>45026</v>
      </c>
      <c r="H21" s="1">
        <v>45040</v>
      </c>
      <c r="I21" s="5">
        <v>54000</v>
      </c>
      <c r="J21" s="5">
        <v>40000</v>
      </c>
      <c r="K21" s="5">
        <v>41000</v>
      </c>
      <c r="L21">
        <v>510</v>
      </c>
      <c r="M21">
        <v>390</v>
      </c>
      <c r="N21">
        <v>400</v>
      </c>
      <c r="O21" s="5">
        <f t="shared" si="0"/>
        <v>14000</v>
      </c>
      <c r="P21" s="5">
        <f t="shared" si="1"/>
        <v>1000</v>
      </c>
      <c r="Q21">
        <f t="shared" si="2"/>
        <v>110</v>
      </c>
      <c r="R21">
        <f>Table1[[#This Row],[Promotion End Date]]-Table1[[#This Row],[Promotion Start Date]]</f>
        <v>14</v>
      </c>
    </row>
    <row r="22" spans="1:18">
      <c r="A22" s="2">
        <v>21</v>
      </c>
      <c r="B22" t="s">
        <v>43</v>
      </c>
      <c r="C22">
        <v>1550</v>
      </c>
      <c r="D22" t="s">
        <v>22</v>
      </c>
      <c r="E22">
        <v>121</v>
      </c>
      <c r="F22" t="s">
        <v>25</v>
      </c>
      <c r="G22" s="1">
        <v>45153</v>
      </c>
      <c r="H22" s="1">
        <v>45167</v>
      </c>
      <c r="I22" s="5">
        <v>45000</v>
      </c>
      <c r="J22" s="5">
        <v>33000</v>
      </c>
      <c r="K22" s="5">
        <v>35000</v>
      </c>
      <c r="L22">
        <v>400</v>
      </c>
      <c r="M22">
        <v>320</v>
      </c>
      <c r="N22">
        <v>330</v>
      </c>
      <c r="O22" s="5">
        <f t="shared" si="0"/>
        <v>12000</v>
      </c>
      <c r="P22" s="5">
        <f t="shared" si="1"/>
        <v>2000</v>
      </c>
      <c r="Q22">
        <f t="shared" si="2"/>
        <v>70</v>
      </c>
      <c r="R22">
        <f>Table1[[#This Row],[Promotion End Date]]-Table1[[#This Row],[Promotion Start Date]]</f>
        <v>14</v>
      </c>
    </row>
    <row r="23" spans="1:18">
      <c r="A23" s="2">
        <v>22</v>
      </c>
      <c r="B23" t="s">
        <v>44</v>
      </c>
      <c r="C23">
        <v>1600</v>
      </c>
      <c r="D23" t="s">
        <v>19</v>
      </c>
      <c r="E23">
        <v>122</v>
      </c>
      <c r="F23" t="s">
        <v>20</v>
      </c>
      <c r="G23" s="1">
        <v>45125</v>
      </c>
      <c r="H23" s="1">
        <v>45139</v>
      </c>
      <c r="I23" s="5">
        <v>50000</v>
      </c>
      <c r="J23" s="5">
        <v>39000</v>
      </c>
      <c r="K23" s="5">
        <v>42000</v>
      </c>
      <c r="L23">
        <v>480</v>
      </c>
      <c r="M23">
        <v>370</v>
      </c>
      <c r="N23">
        <v>400</v>
      </c>
      <c r="O23" s="5">
        <f t="shared" si="0"/>
        <v>11000</v>
      </c>
      <c r="P23" s="5">
        <f t="shared" si="1"/>
        <v>3000</v>
      </c>
      <c r="Q23">
        <f t="shared" si="2"/>
        <v>80</v>
      </c>
      <c r="R23">
        <f>Table1[[#This Row],[Promotion End Date]]-Table1[[#This Row],[Promotion Start Date]]</f>
        <v>14</v>
      </c>
    </row>
    <row r="24" spans="1:18">
      <c r="A24" s="2">
        <v>23</v>
      </c>
      <c r="B24" t="s">
        <v>45</v>
      </c>
      <c r="C24">
        <v>1350</v>
      </c>
      <c r="D24" t="s">
        <v>22</v>
      </c>
      <c r="E24">
        <v>123</v>
      </c>
      <c r="F24" t="s">
        <v>23</v>
      </c>
      <c r="G24" s="1">
        <v>45097</v>
      </c>
      <c r="H24" s="1">
        <v>45111</v>
      </c>
      <c r="I24" s="5">
        <v>48000</v>
      </c>
      <c r="J24" s="5">
        <v>36000</v>
      </c>
      <c r="K24" s="5">
        <v>37000</v>
      </c>
      <c r="L24">
        <v>410</v>
      </c>
      <c r="M24">
        <v>350</v>
      </c>
      <c r="N24">
        <v>360</v>
      </c>
      <c r="O24" s="5">
        <f t="shared" si="0"/>
        <v>12000</v>
      </c>
      <c r="P24" s="5">
        <f t="shared" si="1"/>
        <v>1000</v>
      </c>
      <c r="Q24">
        <f t="shared" si="2"/>
        <v>50</v>
      </c>
      <c r="R24">
        <f>Table1[[#This Row],[Promotion End Date]]-Table1[[#This Row],[Promotion Start Date]]</f>
        <v>14</v>
      </c>
    </row>
    <row r="25" spans="1:18">
      <c r="A25" s="2">
        <v>24</v>
      </c>
      <c r="B25" t="s">
        <v>46</v>
      </c>
      <c r="C25">
        <v>1400</v>
      </c>
      <c r="D25" t="s">
        <v>19</v>
      </c>
      <c r="E25">
        <v>124</v>
      </c>
      <c r="F25" t="s">
        <v>25</v>
      </c>
      <c r="G25" s="1">
        <v>45061</v>
      </c>
      <c r="H25" s="1">
        <v>45075</v>
      </c>
      <c r="I25" s="5">
        <v>52000</v>
      </c>
      <c r="J25" s="5">
        <v>41000</v>
      </c>
      <c r="K25" s="5">
        <v>43000</v>
      </c>
      <c r="L25">
        <v>470</v>
      </c>
      <c r="M25">
        <v>400</v>
      </c>
      <c r="N25">
        <v>420</v>
      </c>
      <c r="O25" s="5">
        <f t="shared" si="0"/>
        <v>11000</v>
      </c>
      <c r="P25" s="5">
        <f t="shared" si="1"/>
        <v>2000</v>
      </c>
      <c r="Q25">
        <f t="shared" si="2"/>
        <v>50</v>
      </c>
      <c r="R25">
        <f>Table1[[#This Row],[Promotion End Date]]-Table1[[#This Row],[Promotion Start Date]]</f>
        <v>14</v>
      </c>
    </row>
    <row r="26" spans="1:18">
      <c r="A26" s="2">
        <v>25</v>
      </c>
      <c r="B26" t="s">
        <v>47</v>
      </c>
      <c r="C26">
        <v>1500</v>
      </c>
      <c r="D26" t="s">
        <v>22</v>
      </c>
      <c r="E26">
        <v>125</v>
      </c>
      <c r="F26" t="s">
        <v>20</v>
      </c>
      <c r="G26" s="1">
        <v>45036</v>
      </c>
      <c r="H26" s="1">
        <v>45050</v>
      </c>
      <c r="I26" s="5">
        <v>47000</v>
      </c>
      <c r="J26" s="5">
        <v>35000</v>
      </c>
      <c r="K26" s="5">
        <v>38000</v>
      </c>
      <c r="L26">
        <v>400</v>
      </c>
      <c r="M26">
        <v>340</v>
      </c>
      <c r="N26">
        <v>370</v>
      </c>
      <c r="O26" s="5">
        <f t="shared" si="0"/>
        <v>12000</v>
      </c>
      <c r="P26" s="5">
        <f t="shared" si="1"/>
        <v>3000</v>
      </c>
      <c r="Q26">
        <f t="shared" si="2"/>
        <v>30</v>
      </c>
      <c r="R26">
        <f>Table1[[#This Row],[Promotion End Date]]-Table1[[#This Row],[Promotion Start Date]]</f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188E-D298-4B5C-8FFD-6C2252898FD0}">
  <dimension ref="A1:B5"/>
  <sheetViews>
    <sheetView tabSelected="1" workbookViewId="0"/>
  </sheetViews>
  <sheetFormatPr defaultRowHeight="15.75"/>
  <cols>
    <col min="1" max="1" width="19.5" bestFit="1" customWidth="1"/>
    <col min="2" max="2" width="37.375" bestFit="1" customWidth="1"/>
    <col min="3" max="18" width="10.125" bestFit="1" customWidth="1"/>
    <col min="19" max="19" width="10.75" bestFit="1" customWidth="1"/>
  </cols>
  <sheetData>
    <row r="1" spans="1:2">
      <c r="A1" s="7" t="s">
        <v>5</v>
      </c>
      <c r="B1" t="s">
        <v>48</v>
      </c>
    </row>
    <row r="2" spans="1:2">
      <c r="A2" t="s">
        <v>23</v>
      </c>
      <c r="B2" s="5">
        <v>50000</v>
      </c>
    </row>
    <row r="3" spans="1:2">
      <c r="A3" t="s">
        <v>20</v>
      </c>
      <c r="B3" s="5">
        <v>48777.777777777781</v>
      </c>
    </row>
    <row r="4" spans="1:2">
      <c r="A4" t="s">
        <v>25</v>
      </c>
      <c r="B4" s="5">
        <v>49625</v>
      </c>
    </row>
    <row r="5" spans="1:2">
      <c r="A5" t="s">
        <v>49</v>
      </c>
      <c r="B5" s="5">
        <v>49440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Garrett Chappell</dc:creator>
  <cp:keywords/>
  <dc:description/>
  <cp:lastModifiedBy>Tushar Pillay</cp:lastModifiedBy>
  <cp:revision/>
  <dcterms:created xsi:type="dcterms:W3CDTF">2023-11-14T18:48:35Z</dcterms:created>
  <dcterms:modified xsi:type="dcterms:W3CDTF">2026-09-03T08:03:02Z</dcterms:modified>
  <cp:category/>
  <cp:contentStatus/>
</cp:coreProperties>
</file>